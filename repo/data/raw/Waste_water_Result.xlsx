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B7FFE21B-AEE7-48D2-B225-497BC19E3F7E}" xr6:coauthVersionLast="47" xr6:coauthVersionMax="47" xr10:uidLastSave="{00000000-0000-0000-0000-000000000000}"/>
  <bookViews>
    <workbookView xWindow="-108" yWindow="-108" windowWidth="23256" windowHeight="13176" xr2:uid="{A9F2C2D1-659A-4F53-B58D-6F900A72B1BD}"/>
  </bookViews>
  <sheets>
    <sheet name="cnt washing water" sheetId="1" r:id="rId1"/>
    <sheet name="sisal fiber" sheetId="2" r:id="rId2"/>
    <sheet name="banana peel" sheetId="3" r:id="rId3"/>
    <sheet name="alum" sheetId="4" r:id="rId4"/>
    <sheet name="cnt kitchen water" sheetId="5" r:id="rId5"/>
    <sheet name="sisal fiber kitch" sheetId="6" r:id="rId6"/>
    <sheet name="banana peel kitch" sheetId="7" r:id="rId7"/>
    <sheet name="alum kitch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7" l="1"/>
  <c r="E5" i="7"/>
  <c r="E6" i="7"/>
  <c r="E7" i="7"/>
  <c r="E8" i="7"/>
  <c r="E9" i="7"/>
  <c r="E10" i="7"/>
  <c r="E11" i="7"/>
  <c r="E12" i="7"/>
  <c r="E13" i="7"/>
  <c r="E3" i="7"/>
  <c r="E4" i="8"/>
  <c r="E5" i="8"/>
  <c r="E6" i="8"/>
  <c r="E7" i="8"/>
  <c r="E8" i="8"/>
  <c r="E9" i="8"/>
  <c r="E10" i="8"/>
  <c r="E11" i="8"/>
  <c r="E12" i="8"/>
  <c r="E13" i="8"/>
  <c r="E3" i="8"/>
  <c r="E4" i="6"/>
  <c r="E5" i="6"/>
  <c r="E6" i="6"/>
  <c r="E7" i="6"/>
  <c r="E8" i="6"/>
  <c r="E9" i="6"/>
  <c r="E10" i="6"/>
  <c r="E11" i="6"/>
  <c r="E12" i="6"/>
  <c r="E13" i="6"/>
  <c r="E3" i="6"/>
  <c r="E4" i="3"/>
  <c r="E5" i="3"/>
  <c r="E6" i="3"/>
  <c r="E7" i="3"/>
  <c r="E8" i="3"/>
  <c r="E9" i="3"/>
  <c r="E10" i="3"/>
  <c r="E11" i="3"/>
  <c r="E12" i="3"/>
  <c r="E13" i="3"/>
  <c r="E3" i="3"/>
  <c r="E4" i="2"/>
  <c r="E5" i="2"/>
  <c r="E6" i="2"/>
  <c r="E7" i="2"/>
  <c r="E8" i="2"/>
  <c r="E9" i="2"/>
  <c r="E10" i="2"/>
  <c r="E11" i="2"/>
  <c r="E12" i="2"/>
  <c r="E13" i="2"/>
  <c r="E3" i="2"/>
</calcChain>
</file>

<file path=xl/sharedStrings.xml><?xml version="1.0" encoding="utf-8"?>
<sst xmlns="http://schemas.openxmlformats.org/spreadsheetml/2006/main" count="130" uniqueCount="23">
  <si>
    <t>CONTROL (UNTREATED)</t>
  </si>
  <si>
    <t>Parameter</t>
  </si>
  <si>
    <t>Result</t>
  </si>
  <si>
    <t>pH</t>
  </si>
  <si>
    <t>Temperature (°C)</t>
  </si>
  <si>
    <t>Electrical conductivity</t>
  </si>
  <si>
    <t>Turbidity (NTU)</t>
  </si>
  <si>
    <t>TDS (mg/L)</t>
  </si>
  <si>
    <t>TSS (mg/L)</t>
  </si>
  <si>
    <t>BOD (mg/L)</t>
  </si>
  <si>
    <t>COD (mg/L)</t>
  </si>
  <si>
    <t>Calcium (mg/L)</t>
  </si>
  <si>
    <t>Magnesium (mg/L)</t>
  </si>
  <si>
    <t>Sodium (mg/L)</t>
  </si>
  <si>
    <t>SISAL FIBRE</t>
  </si>
  <si>
    <t>Result – Set 1</t>
  </si>
  <si>
    <t>Result – Set 2</t>
  </si>
  <si>
    <t>Result – Set 3</t>
  </si>
  <si>
    <t>BANANA PEEL</t>
  </si>
  <si>
    <t>ALUM</t>
  </si>
  <si>
    <t>Average</t>
  </si>
  <si>
    <t>Parameters</t>
  </si>
  <si>
    <t>Banana Peel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</si>
</sst>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center"/>
    </xf>
    <xf numFmtId="0" fontId="1" fillId="3" borderId="0" xfId="0" applyFont="1" applyFill="1"/>
    <xf numFmtId="0" fontId="4" fillId="3" borderId="0" xfId="0" applyFont="1" applyFill="1"/>
    <xf numFmtId="0" fontId="4" fillId="2" borderId="0" xfId="0" applyFont="1" applyFill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/>
    <xf numFmtId="0" fontId="11" fillId="3" borderId="0" xfId="0" applyFont="1" applyFill="1"/>
    <xf numFmtId="0" fontId="8" fillId="2" borderId="1" xfId="0" applyFont="1" applyFill="1" applyBorder="1" applyAlignment="1">
      <alignment horizontal="left" vertical="center" wrapText="1"/>
    </xf>
    <xf numFmtId="0" fontId="10" fillId="4" borderId="0" xfId="0" applyFont="1" applyFill="1"/>
    <xf numFmtId="2" fontId="10" fillId="4" borderId="0" xfId="0" applyNumberFormat="1" applyFont="1" applyFill="1"/>
    <xf numFmtId="2" fontId="7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9FA9-8654-4A2F-9FB3-5EA8973DED84}">
  <dimension ref="A1:B13"/>
  <sheetViews>
    <sheetView tabSelected="1" workbookViewId="0">
      <selection activeCell="A23" sqref="A23"/>
    </sheetView>
  </sheetViews>
  <sheetFormatPr defaultColWidth="8.77734375" defaultRowHeight="15.6" x14ac:dyDescent="0.3"/>
  <cols>
    <col min="1" max="1" width="26" style="8" customWidth="1"/>
    <col min="2" max="2" width="17.44140625" style="8" customWidth="1"/>
    <col min="3" max="16384" width="8.77734375" style="8"/>
  </cols>
  <sheetData>
    <row r="1" spans="1:2" x14ac:dyDescent="0.3">
      <c r="A1" s="6" t="s">
        <v>0</v>
      </c>
      <c r="B1" s="7"/>
    </row>
    <row r="2" spans="1:2" x14ac:dyDescent="0.3">
      <c r="A2" s="13" t="s">
        <v>21</v>
      </c>
      <c r="B2" s="11" t="s">
        <v>2</v>
      </c>
    </row>
    <row r="3" spans="1:2" x14ac:dyDescent="0.3">
      <c r="A3" s="14" t="s">
        <v>3</v>
      </c>
      <c r="B3" s="12">
        <v>8</v>
      </c>
    </row>
    <row r="4" spans="1:2" x14ac:dyDescent="0.3">
      <c r="A4" s="14" t="s">
        <v>4</v>
      </c>
      <c r="B4" s="12">
        <v>21</v>
      </c>
    </row>
    <row r="5" spans="1:2" x14ac:dyDescent="0.3">
      <c r="A5" s="14" t="s">
        <v>5</v>
      </c>
      <c r="B5" s="12">
        <v>6</v>
      </c>
    </row>
    <row r="6" spans="1:2" x14ac:dyDescent="0.3">
      <c r="A6" s="14" t="s">
        <v>6</v>
      </c>
      <c r="B6" s="12">
        <v>7</v>
      </c>
    </row>
    <row r="7" spans="1:2" x14ac:dyDescent="0.3">
      <c r="A7" s="14" t="s">
        <v>7</v>
      </c>
      <c r="B7" s="12">
        <v>807</v>
      </c>
    </row>
    <row r="8" spans="1:2" x14ac:dyDescent="0.3">
      <c r="A8" s="14" t="s">
        <v>8</v>
      </c>
      <c r="B8" s="12">
        <v>135.05000000000001</v>
      </c>
    </row>
    <row r="9" spans="1:2" x14ac:dyDescent="0.3">
      <c r="A9" s="14" t="s">
        <v>9</v>
      </c>
      <c r="B9" s="12">
        <v>210</v>
      </c>
    </row>
    <row r="10" spans="1:2" x14ac:dyDescent="0.3">
      <c r="A10" s="14" t="s">
        <v>10</v>
      </c>
      <c r="B10" s="12">
        <v>125.01</v>
      </c>
    </row>
    <row r="11" spans="1:2" x14ac:dyDescent="0.3">
      <c r="A11" s="14" t="s">
        <v>11</v>
      </c>
      <c r="B11" s="12">
        <v>222.09</v>
      </c>
    </row>
    <row r="12" spans="1:2" x14ac:dyDescent="0.3">
      <c r="A12" s="14" t="s">
        <v>12</v>
      </c>
      <c r="B12" s="12">
        <v>220.37</v>
      </c>
    </row>
    <row r="13" spans="1:2" x14ac:dyDescent="0.3">
      <c r="A13" s="14" t="s">
        <v>13</v>
      </c>
      <c r="B13" s="1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0368-DAF3-4DEC-8E74-38FE1277FC8E}">
  <dimension ref="A1:E14"/>
  <sheetViews>
    <sheetView workbookViewId="0">
      <selection activeCell="A22" sqref="A22"/>
    </sheetView>
  </sheetViews>
  <sheetFormatPr defaultRowHeight="14.4" x14ac:dyDescent="0.3"/>
  <cols>
    <col min="1" max="1" width="18.6640625" customWidth="1"/>
  </cols>
  <sheetData>
    <row r="1" spans="1:5" x14ac:dyDescent="0.3">
      <c r="A1" s="5" t="s">
        <v>14</v>
      </c>
      <c r="B1" s="1"/>
      <c r="C1" s="1"/>
      <c r="D1" s="1"/>
    </row>
    <row r="2" spans="1:5" ht="31.2" x14ac:dyDescent="0.3">
      <c r="A2" s="13" t="s">
        <v>1</v>
      </c>
      <c r="B2" s="9" t="s">
        <v>15</v>
      </c>
      <c r="C2" s="9" t="s">
        <v>16</v>
      </c>
      <c r="D2" s="9" t="s">
        <v>17</v>
      </c>
      <c r="E2" s="11" t="s">
        <v>20</v>
      </c>
    </row>
    <row r="3" spans="1:5" ht="15.6" x14ac:dyDescent="0.3">
      <c r="A3" s="14" t="s">
        <v>3</v>
      </c>
      <c r="B3" s="10">
        <v>6.17</v>
      </c>
      <c r="C3" s="10">
        <v>6</v>
      </c>
      <c r="D3" s="10">
        <v>6.34</v>
      </c>
      <c r="E3" s="12">
        <f>AVERAGE(B3:D3)</f>
        <v>6.169999999999999</v>
      </c>
    </row>
    <row r="4" spans="1:5" ht="15.6" x14ac:dyDescent="0.3">
      <c r="A4" s="14" t="s">
        <v>4</v>
      </c>
      <c r="B4" s="10">
        <v>19.03</v>
      </c>
      <c r="C4" s="10">
        <v>18.5</v>
      </c>
      <c r="D4" s="10">
        <v>18.600000000000001</v>
      </c>
      <c r="E4" s="12">
        <f t="shared" ref="E4:E13" si="0">AVERAGE(B4:D4)</f>
        <v>18.71</v>
      </c>
    </row>
    <row r="5" spans="1:5" ht="15.6" x14ac:dyDescent="0.3">
      <c r="A5" s="14" t="s">
        <v>5</v>
      </c>
      <c r="B5" s="10">
        <v>4.21</v>
      </c>
      <c r="C5" s="10">
        <v>4.4000000000000004</v>
      </c>
      <c r="D5" s="10">
        <v>4.33</v>
      </c>
      <c r="E5" s="12">
        <f t="shared" si="0"/>
        <v>4.3133333333333335</v>
      </c>
    </row>
    <row r="6" spans="1:5" ht="15.6" x14ac:dyDescent="0.3">
      <c r="A6" s="14" t="s">
        <v>6</v>
      </c>
      <c r="B6" s="10">
        <v>5.3</v>
      </c>
      <c r="C6" s="10">
        <v>5.5</v>
      </c>
      <c r="D6" s="10">
        <v>5.5</v>
      </c>
      <c r="E6" s="12">
        <f t="shared" si="0"/>
        <v>5.4333333333333336</v>
      </c>
    </row>
    <row r="7" spans="1:5" ht="15.6" x14ac:dyDescent="0.3">
      <c r="A7" s="14" t="s">
        <v>7</v>
      </c>
      <c r="B7" s="10">
        <v>679.33</v>
      </c>
      <c r="C7" s="10">
        <v>698.33</v>
      </c>
      <c r="D7" s="10">
        <v>686.33</v>
      </c>
      <c r="E7" s="12">
        <f t="shared" si="0"/>
        <v>687.99666666666678</v>
      </c>
    </row>
    <row r="8" spans="1:5" ht="15.6" x14ac:dyDescent="0.3">
      <c r="A8" s="14" t="s">
        <v>8</v>
      </c>
      <c r="B8" s="10">
        <v>115.9</v>
      </c>
      <c r="C8" s="10">
        <v>95.99</v>
      </c>
      <c r="D8" s="10">
        <v>95.71</v>
      </c>
      <c r="E8" s="12">
        <f t="shared" si="0"/>
        <v>102.53333333333332</v>
      </c>
    </row>
    <row r="9" spans="1:5" ht="15.6" x14ac:dyDescent="0.3">
      <c r="A9" s="14" t="s">
        <v>9</v>
      </c>
      <c r="B9" s="10">
        <v>112.98</v>
      </c>
      <c r="C9" s="10">
        <v>112.54</v>
      </c>
      <c r="D9" s="10">
        <v>112.48</v>
      </c>
      <c r="E9" s="12">
        <f t="shared" si="0"/>
        <v>112.66666666666667</v>
      </c>
    </row>
    <row r="10" spans="1:5" ht="15.6" x14ac:dyDescent="0.3">
      <c r="A10" s="14" t="s">
        <v>10</v>
      </c>
      <c r="B10" s="10">
        <v>111.98</v>
      </c>
      <c r="C10" s="10">
        <v>112.25</v>
      </c>
      <c r="D10" s="10">
        <v>111.92</v>
      </c>
      <c r="E10" s="12">
        <f t="shared" si="0"/>
        <v>112.05000000000001</v>
      </c>
    </row>
    <row r="11" spans="1:5" ht="15.6" x14ac:dyDescent="0.3">
      <c r="A11" s="14" t="s">
        <v>11</v>
      </c>
      <c r="B11" s="10">
        <v>97.67</v>
      </c>
      <c r="C11" s="10">
        <v>95.7</v>
      </c>
      <c r="D11" s="10">
        <v>97.45</v>
      </c>
      <c r="E11" s="12">
        <f t="shared" si="0"/>
        <v>96.94</v>
      </c>
    </row>
    <row r="12" spans="1:5" ht="15.6" x14ac:dyDescent="0.3">
      <c r="A12" s="14" t="s">
        <v>12</v>
      </c>
      <c r="B12" s="10">
        <v>120.33</v>
      </c>
      <c r="C12" s="10">
        <v>113</v>
      </c>
      <c r="D12" s="10">
        <v>121.33</v>
      </c>
      <c r="E12" s="12">
        <f t="shared" si="0"/>
        <v>118.21999999999998</v>
      </c>
    </row>
    <row r="13" spans="1:5" ht="15.6" x14ac:dyDescent="0.3">
      <c r="A13" s="14" t="s">
        <v>13</v>
      </c>
      <c r="B13" s="10">
        <v>221.67</v>
      </c>
      <c r="C13" s="10">
        <v>210.67</v>
      </c>
      <c r="D13" s="10">
        <v>211.33</v>
      </c>
      <c r="E13" s="12">
        <f t="shared" si="0"/>
        <v>214.55666666666664</v>
      </c>
    </row>
    <row r="14" spans="1:5" ht="15.6" x14ac:dyDescent="0.3">
      <c r="A14" s="8"/>
      <c r="B14" s="8"/>
      <c r="C14" s="8"/>
      <c r="D14" s="8"/>
      <c r="E1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4847-4928-4323-B0C9-77CC1914C3D9}">
  <dimension ref="A1:E13"/>
  <sheetViews>
    <sheetView workbookViewId="0">
      <selection activeCell="A2" sqref="A2"/>
    </sheetView>
  </sheetViews>
  <sheetFormatPr defaultRowHeight="14.4" x14ac:dyDescent="0.3"/>
  <cols>
    <col min="1" max="1" width="18" bestFit="1" customWidth="1"/>
  </cols>
  <sheetData>
    <row r="1" spans="1:5" x14ac:dyDescent="0.3">
      <c r="A1" s="15" t="s">
        <v>22</v>
      </c>
      <c r="B1" s="1"/>
      <c r="C1" s="1"/>
      <c r="D1" s="1"/>
    </row>
    <row r="2" spans="1:5" ht="31.2" x14ac:dyDescent="0.3">
      <c r="A2" s="13" t="s">
        <v>1</v>
      </c>
      <c r="B2" s="9" t="s">
        <v>15</v>
      </c>
      <c r="C2" s="9" t="s">
        <v>16</v>
      </c>
      <c r="D2" s="9" t="s">
        <v>17</v>
      </c>
      <c r="E2" s="11" t="s">
        <v>20</v>
      </c>
    </row>
    <row r="3" spans="1:5" ht="15.6" x14ac:dyDescent="0.3">
      <c r="A3" s="14" t="s">
        <v>3</v>
      </c>
      <c r="B3" s="10">
        <v>7.28</v>
      </c>
      <c r="C3" s="10">
        <v>5.82</v>
      </c>
      <c r="D3" s="10">
        <v>5</v>
      </c>
      <c r="E3" s="12">
        <f>AVERAGE(B3:D3)</f>
        <v>6.0333333333333341</v>
      </c>
    </row>
    <row r="4" spans="1:5" ht="15.6" x14ac:dyDescent="0.3">
      <c r="A4" s="14" t="s">
        <v>4</v>
      </c>
      <c r="B4" s="10">
        <v>18.53</v>
      </c>
      <c r="C4" s="10">
        <v>18.7</v>
      </c>
      <c r="D4" s="10">
        <v>18.8</v>
      </c>
      <c r="E4" s="12">
        <f t="shared" ref="E4:E13" si="0">AVERAGE(B4:D4)</f>
        <v>18.676666666666666</v>
      </c>
    </row>
    <row r="5" spans="1:5" ht="15.6" x14ac:dyDescent="0.3">
      <c r="A5" s="14" t="s">
        <v>5</v>
      </c>
      <c r="B5" s="10">
        <v>4.5</v>
      </c>
      <c r="C5" s="10">
        <v>4.51</v>
      </c>
      <c r="D5" s="10">
        <v>4.4000000000000004</v>
      </c>
      <c r="E5" s="12">
        <f t="shared" si="0"/>
        <v>4.47</v>
      </c>
    </row>
    <row r="6" spans="1:5" ht="15.6" x14ac:dyDescent="0.3">
      <c r="A6" s="14" t="s">
        <v>6</v>
      </c>
      <c r="B6" s="10">
        <v>5.53</v>
      </c>
      <c r="C6" s="10">
        <v>5.41</v>
      </c>
      <c r="D6" s="10">
        <v>5.5</v>
      </c>
      <c r="E6" s="12">
        <f t="shared" si="0"/>
        <v>5.48</v>
      </c>
    </row>
    <row r="7" spans="1:5" ht="15.6" x14ac:dyDescent="0.3">
      <c r="A7" s="14" t="s">
        <v>7</v>
      </c>
      <c r="B7" s="10">
        <v>830</v>
      </c>
      <c r="C7" s="10">
        <v>800.33</v>
      </c>
      <c r="D7" s="10">
        <v>708</v>
      </c>
      <c r="E7" s="12">
        <f t="shared" si="0"/>
        <v>779.44333333333327</v>
      </c>
    </row>
    <row r="8" spans="1:5" ht="15.6" x14ac:dyDescent="0.3">
      <c r="A8" s="14" t="s">
        <v>8</v>
      </c>
      <c r="B8" s="10">
        <v>118.79</v>
      </c>
      <c r="C8" s="10">
        <v>118.01</v>
      </c>
      <c r="D8" s="10">
        <v>96.04</v>
      </c>
      <c r="E8" s="12">
        <f t="shared" si="0"/>
        <v>110.94666666666667</v>
      </c>
    </row>
    <row r="9" spans="1:5" ht="15.6" x14ac:dyDescent="0.3">
      <c r="A9" s="14" t="s">
        <v>9</v>
      </c>
      <c r="B9" s="10">
        <v>115</v>
      </c>
      <c r="C9" s="10">
        <v>115.02</v>
      </c>
      <c r="D9" s="10">
        <v>115.01</v>
      </c>
      <c r="E9" s="12">
        <f t="shared" si="0"/>
        <v>115.00999999999999</v>
      </c>
    </row>
    <row r="10" spans="1:5" ht="15.6" x14ac:dyDescent="0.3">
      <c r="A10" s="14" t="s">
        <v>10</v>
      </c>
      <c r="B10" s="10">
        <v>114.53</v>
      </c>
      <c r="C10" s="10">
        <v>112.99</v>
      </c>
      <c r="D10" s="10">
        <v>117.01</v>
      </c>
      <c r="E10" s="12">
        <f t="shared" si="0"/>
        <v>114.84333333333332</v>
      </c>
    </row>
    <row r="11" spans="1:5" ht="15.6" x14ac:dyDescent="0.3">
      <c r="A11" s="14" t="s">
        <v>11</v>
      </c>
      <c r="B11" s="10">
        <v>97.98</v>
      </c>
      <c r="C11" s="10">
        <v>98.51</v>
      </c>
      <c r="D11" s="10">
        <v>98.03</v>
      </c>
      <c r="E11" s="12">
        <f t="shared" si="0"/>
        <v>98.173333333333332</v>
      </c>
    </row>
    <row r="12" spans="1:5" ht="15.6" x14ac:dyDescent="0.3">
      <c r="A12" s="14" t="s">
        <v>12</v>
      </c>
      <c r="B12" s="10">
        <v>158.47</v>
      </c>
      <c r="C12" s="10">
        <v>178</v>
      </c>
      <c r="D12" s="10">
        <v>170.33</v>
      </c>
      <c r="E12" s="12">
        <f t="shared" si="0"/>
        <v>168.93333333333337</v>
      </c>
    </row>
    <row r="13" spans="1:5" ht="15.6" x14ac:dyDescent="0.3">
      <c r="A13" s="14" t="s">
        <v>13</v>
      </c>
      <c r="B13" s="10">
        <v>221.33</v>
      </c>
      <c r="C13" s="10">
        <v>222.33</v>
      </c>
      <c r="D13" s="10">
        <v>212</v>
      </c>
      <c r="E13" s="12">
        <f t="shared" si="0"/>
        <v>218.55333333333337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B035-BA34-46FA-BA72-A22085D4EDBE}">
  <dimension ref="A1:E13"/>
  <sheetViews>
    <sheetView workbookViewId="0">
      <selection activeCell="F7" sqref="F7"/>
    </sheetView>
  </sheetViews>
  <sheetFormatPr defaultRowHeight="14.4" x14ac:dyDescent="0.3"/>
  <cols>
    <col min="1" max="1" width="18.21875" customWidth="1"/>
  </cols>
  <sheetData>
    <row r="1" spans="1:5" x14ac:dyDescent="0.3">
      <c r="A1" s="5" t="s">
        <v>19</v>
      </c>
      <c r="B1" s="1"/>
      <c r="C1" s="1"/>
      <c r="D1" s="1"/>
    </row>
    <row r="2" spans="1:5" ht="31.2" x14ac:dyDescent="0.3">
      <c r="A2" s="13" t="s">
        <v>1</v>
      </c>
      <c r="B2" s="9" t="s">
        <v>15</v>
      </c>
      <c r="C2" s="9" t="s">
        <v>16</v>
      </c>
      <c r="D2" s="9" t="s">
        <v>17</v>
      </c>
      <c r="E2" s="11" t="s">
        <v>20</v>
      </c>
    </row>
    <row r="3" spans="1:5" ht="15.6" x14ac:dyDescent="0.3">
      <c r="A3" s="14" t="s">
        <v>3</v>
      </c>
      <c r="B3" s="10">
        <v>6.58</v>
      </c>
      <c r="C3" s="10">
        <v>6.57</v>
      </c>
      <c r="D3" s="10">
        <v>6.47</v>
      </c>
      <c r="E3" s="12">
        <v>6.47</v>
      </c>
    </row>
    <row r="4" spans="1:5" ht="15.6" x14ac:dyDescent="0.3">
      <c r="A4" s="14" t="s">
        <v>4</v>
      </c>
      <c r="B4" s="10">
        <v>18.5</v>
      </c>
      <c r="C4" s="10">
        <v>18.5</v>
      </c>
      <c r="D4" s="10">
        <v>18.600000000000001</v>
      </c>
      <c r="E4" s="12">
        <v>18.600000000000001</v>
      </c>
    </row>
    <row r="5" spans="1:5" ht="15.6" x14ac:dyDescent="0.3">
      <c r="A5" s="14" t="s">
        <v>5</v>
      </c>
      <c r="B5" s="10">
        <v>4.2</v>
      </c>
      <c r="C5" s="10">
        <v>4.2</v>
      </c>
      <c r="D5" s="10">
        <v>4.3099999999999996</v>
      </c>
      <c r="E5" s="12">
        <v>4.3099999999999996</v>
      </c>
    </row>
    <row r="6" spans="1:5" ht="15.6" x14ac:dyDescent="0.3">
      <c r="A6" s="14" t="s">
        <v>6</v>
      </c>
      <c r="B6" s="10">
        <v>5.23</v>
      </c>
      <c r="C6" s="10">
        <v>5.08</v>
      </c>
      <c r="D6" s="10">
        <v>5.5</v>
      </c>
      <c r="E6" s="12">
        <v>5.5</v>
      </c>
    </row>
    <row r="7" spans="1:5" ht="15.6" x14ac:dyDescent="0.3">
      <c r="A7" s="14" t="s">
        <v>7</v>
      </c>
      <c r="B7" s="10">
        <v>692</v>
      </c>
      <c r="C7" s="10">
        <v>681</v>
      </c>
      <c r="D7" s="10">
        <v>685.33</v>
      </c>
      <c r="E7" s="12">
        <v>685.33</v>
      </c>
    </row>
    <row r="8" spans="1:5" ht="15.6" x14ac:dyDescent="0.3">
      <c r="A8" s="14" t="s">
        <v>8</v>
      </c>
      <c r="B8" s="10">
        <v>115.33</v>
      </c>
      <c r="C8" s="10">
        <v>15.31</v>
      </c>
      <c r="D8" s="10">
        <v>16.21</v>
      </c>
      <c r="E8" s="12">
        <v>16.21</v>
      </c>
    </row>
    <row r="9" spans="1:5" ht="15.6" x14ac:dyDescent="0.3">
      <c r="A9" s="14" t="s">
        <v>9</v>
      </c>
      <c r="B9" s="10">
        <v>111.95</v>
      </c>
      <c r="C9" s="10">
        <v>11.12</v>
      </c>
      <c r="D9" s="10">
        <v>12</v>
      </c>
      <c r="E9" s="12">
        <v>12</v>
      </c>
    </row>
    <row r="10" spans="1:5" ht="15.6" x14ac:dyDescent="0.3">
      <c r="A10" s="14" t="s">
        <v>10</v>
      </c>
      <c r="B10" s="10">
        <v>107.33</v>
      </c>
      <c r="C10" s="10">
        <v>112</v>
      </c>
      <c r="D10" s="10">
        <v>112.67</v>
      </c>
      <c r="E10" s="12">
        <v>112.67</v>
      </c>
    </row>
    <row r="11" spans="1:5" ht="15.6" x14ac:dyDescent="0.3">
      <c r="A11" s="14" t="s">
        <v>11</v>
      </c>
      <c r="B11" s="10">
        <v>85.04</v>
      </c>
      <c r="C11" s="10">
        <v>86.02</v>
      </c>
      <c r="D11" s="10">
        <v>87.03</v>
      </c>
      <c r="E11" s="12">
        <v>87.03</v>
      </c>
    </row>
    <row r="12" spans="1:5" ht="15.6" x14ac:dyDescent="0.3">
      <c r="A12" s="14" t="s">
        <v>12</v>
      </c>
      <c r="B12" s="10">
        <v>111.67</v>
      </c>
      <c r="C12" s="10">
        <v>200.67</v>
      </c>
      <c r="D12" s="10">
        <v>205.33</v>
      </c>
      <c r="E12" s="12">
        <v>205.33</v>
      </c>
    </row>
    <row r="13" spans="1:5" ht="15.6" x14ac:dyDescent="0.3">
      <c r="A13" s="14" t="s">
        <v>13</v>
      </c>
      <c r="B13" s="10">
        <v>200.67</v>
      </c>
      <c r="C13" s="10">
        <v>198.67</v>
      </c>
      <c r="D13" s="10">
        <v>198</v>
      </c>
      <c r="E13" s="12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7460-F133-4C1D-ACBA-8741A2219DAE}">
  <dimension ref="A1:B13"/>
  <sheetViews>
    <sheetView workbookViewId="0">
      <selection activeCell="A3" sqref="A3"/>
    </sheetView>
  </sheetViews>
  <sheetFormatPr defaultRowHeight="14.4" x14ac:dyDescent="0.3"/>
  <cols>
    <col min="1" max="1" width="26.6640625" customWidth="1"/>
  </cols>
  <sheetData>
    <row r="1" spans="1:2" x14ac:dyDescent="0.3">
      <c r="A1" s="5" t="s">
        <v>0</v>
      </c>
      <c r="B1" s="1"/>
    </row>
    <row r="2" spans="1:2" x14ac:dyDescent="0.3">
      <c r="A2" s="16" t="s">
        <v>21</v>
      </c>
      <c r="B2" s="2" t="s">
        <v>2</v>
      </c>
    </row>
    <row r="3" spans="1:2" x14ac:dyDescent="0.3">
      <c r="A3" s="3" t="s">
        <v>3</v>
      </c>
      <c r="B3" s="4">
        <v>9.33</v>
      </c>
    </row>
    <row r="4" spans="1:2" x14ac:dyDescent="0.3">
      <c r="A4" s="3" t="s">
        <v>4</v>
      </c>
      <c r="B4" s="4">
        <v>22</v>
      </c>
    </row>
    <row r="5" spans="1:2" x14ac:dyDescent="0.3">
      <c r="A5" s="3" t="s">
        <v>5</v>
      </c>
      <c r="B5" s="4">
        <v>8</v>
      </c>
    </row>
    <row r="6" spans="1:2" x14ac:dyDescent="0.3">
      <c r="A6" s="3" t="s">
        <v>6</v>
      </c>
      <c r="B6" s="4">
        <v>7.5</v>
      </c>
    </row>
    <row r="7" spans="1:2" x14ac:dyDescent="0.3">
      <c r="A7" s="3" t="s">
        <v>7</v>
      </c>
      <c r="B7" s="4">
        <v>800.01</v>
      </c>
    </row>
    <row r="8" spans="1:2" x14ac:dyDescent="0.3">
      <c r="A8" s="3" t="s">
        <v>8</v>
      </c>
      <c r="B8" s="4">
        <v>315</v>
      </c>
    </row>
    <row r="9" spans="1:2" x14ac:dyDescent="0.3">
      <c r="A9" s="3" t="s">
        <v>9</v>
      </c>
      <c r="B9" s="4">
        <v>226.99</v>
      </c>
    </row>
    <row r="10" spans="1:2" x14ac:dyDescent="0.3">
      <c r="A10" s="3" t="s">
        <v>10</v>
      </c>
      <c r="B10" s="4">
        <v>294.98</v>
      </c>
    </row>
    <row r="11" spans="1:2" x14ac:dyDescent="0.3">
      <c r="A11" s="3" t="s">
        <v>11</v>
      </c>
      <c r="B11" s="4">
        <v>225</v>
      </c>
    </row>
    <row r="12" spans="1:2" x14ac:dyDescent="0.3">
      <c r="A12" s="3" t="s">
        <v>12</v>
      </c>
      <c r="B12" s="4">
        <v>280</v>
      </c>
    </row>
    <row r="13" spans="1:2" x14ac:dyDescent="0.3">
      <c r="A13" s="3" t="s">
        <v>13</v>
      </c>
      <c r="B13" s="4">
        <v>299.7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1A8B-0341-41BB-9FB0-ED0932E45F55}">
  <dimension ref="A1:E14"/>
  <sheetViews>
    <sheetView workbookViewId="0">
      <selection activeCell="F3" sqref="F3"/>
    </sheetView>
  </sheetViews>
  <sheetFormatPr defaultRowHeight="14.4" x14ac:dyDescent="0.3"/>
  <cols>
    <col min="1" max="1" width="21.33203125" customWidth="1"/>
  </cols>
  <sheetData>
    <row r="1" spans="1:5" x14ac:dyDescent="0.3">
      <c r="A1" s="5" t="s">
        <v>14</v>
      </c>
      <c r="B1" s="1"/>
      <c r="C1" s="1"/>
      <c r="D1" s="1"/>
    </row>
    <row r="2" spans="1:5" ht="31.2" x14ac:dyDescent="0.3">
      <c r="A2" s="13" t="s">
        <v>1</v>
      </c>
      <c r="B2" s="9" t="s">
        <v>15</v>
      </c>
      <c r="C2" s="9" t="s">
        <v>16</v>
      </c>
      <c r="D2" s="9" t="s">
        <v>17</v>
      </c>
      <c r="E2" s="11" t="s">
        <v>20</v>
      </c>
    </row>
    <row r="3" spans="1:5" ht="15.6" x14ac:dyDescent="0.3">
      <c r="A3" s="14" t="s">
        <v>3</v>
      </c>
      <c r="B3" s="10">
        <v>6.4</v>
      </c>
      <c r="C3" s="10">
        <v>6</v>
      </c>
      <c r="D3" s="10">
        <v>6.2</v>
      </c>
      <c r="E3" s="12">
        <f>AVERAGE(B3:D3)</f>
        <v>6.2</v>
      </c>
    </row>
    <row r="4" spans="1:5" ht="15.6" x14ac:dyDescent="0.3">
      <c r="A4" s="14" t="s">
        <v>4</v>
      </c>
      <c r="B4" s="10">
        <v>19</v>
      </c>
      <c r="C4" s="10">
        <v>19</v>
      </c>
      <c r="D4" s="10">
        <v>18.87</v>
      </c>
      <c r="E4" s="12">
        <f t="shared" ref="E4:E13" si="0">AVERAGE(B4:D4)</f>
        <v>18.956666666666667</v>
      </c>
    </row>
    <row r="5" spans="1:5" ht="15.6" x14ac:dyDescent="0.3">
      <c r="A5" s="14" t="s">
        <v>5</v>
      </c>
      <c r="B5" s="10">
        <v>5.6</v>
      </c>
      <c r="C5" s="10">
        <v>4.8</v>
      </c>
      <c r="D5" s="10">
        <v>4.9400000000000004</v>
      </c>
      <c r="E5" s="12">
        <f t="shared" si="0"/>
        <v>5.1133333333333333</v>
      </c>
    </row>
    <row r="6" spans="1:5" ht="15.6" x14ac:dyDescent="0.3">
      <c r="A6" s="14" t="s">
        <v>6</v>
      </c>
      <c r="B6" s="10">
        <v>6.5</v>
      </c>
      <c r="C6" s="10">
        <v>6.2</v>
      </c>
      <c r="D6" s="10">
        <v>6</v>
      </c>
      <c r="E6" s="12">
        <f t="shared" si="0"/>
        <v>6.2333333333333334</v>
      </c>
    </row>
    <row r="7" spans="1:5" ht="15.6" x14ac:dyDescent="0.3">
      <c r="A7" s="14" t="s">
        <v>7</v>
      </c>
      <c r="B7" s="10">
        <v>623</v>
      </c>
      <c r="C7" s="10">
        <v>500.14</v>
      </c>
      <c r="D7" s="10">
        <v>512</v>
      </c>
      <c r="E7" s="12">
        <f t="shared" si="0"/>
        <v>545.04666666666662</v>
      </c>
    </row>
    <row r="8" spans="1:5" ht="15.6" x14ac:dyDescent="0.3">
      <c r="A8" s="14" t="s">
        <v>8</v>
      </c>
      <c r="B8" s="10">
        <v>150</v>
      </c>
      <c r="C8" s="10">
        <v>112.99</v>
      </c>
      <c r="D8" s="10">
        <v>127</v>
      </c>
      <c r="E8" s="12">
        <f t="shared" si="0"/>
        <v>129.99666666666667</v>
      </c>
    </row>
    <row r="9" spans="1:5" ht="15.6" x14ac:dyDescent="0.3">
      <c r="A9" s="14" t="s">
        <v>9</v>
      </c>
      <c r="B9" s="10">
        <v>85</v>
      </c>
      <c r="C9" s="10">
        <v>94.37</v>
      </c>
      <c r="D9" s="10">
        <v>98.02</v>
      </c>
      <c r="E9" s="12">
        <f t="shared" si="0"/>
        <v>92.463333333333324</v>
      </c>
    </row>
    <row r="10" spans="1:5" ht="15.6" x14ac:dyDescent="0.3">
      <c r="A10" s="14" t="s">
        <v>10</v>
      </c>
      <c r="B10" s="10">
        <v>211.85</v>
      </c>
      <c r="C10" s="10">
        <v>100.99</v>
      </c>
      <c r="D10" s="10">
        <v>111.33</v>
      </c>
      <c r="E10" s="12">
        <f t="shared" si="0"/>
        <v>141.38999999999999</v>
      </c>
    </row>
    <row r="11" spans="1:5" ht="15.6" x14ac:dyDescent="0.3">
      <c r="A11" s="14" t="s">
        <v>11</v>
      </c>
      <c r="B11" s="10">
        <v>90.56</v>
      </c>
      <c r="C11" s="10">
        <v>93.33</v>
      </c>
      <c r="D11" s="10">
        <v>90</v>
      </c>
      <c r="E11" s="12">
        <f t="shared" si="0"/>
        <v>91.296666666666667</v>
      </c>
    </row>
    <row r="12" spans="1:5" ht="15.6" x14ac:dyDescent="0.3">
      <c r="A12" s="14" t="s">
        <v>12</v>
      </c>
      <c r="B12" s="10">
        <v>80</v>
      </c>
      <c r="C12" s="10">
        <v>82</v>
      </c>
      <c r="D12" s="10">
        <v>91</v>
      </c>
      <c r="E12" s="12">
        <f t="shared" si="0"/>
        <v>84.333333333333329</v>
      </c>
    </row>
    <row r="13" spans="1:5" ht="15.6" x14ac:dyDescent="0.3">
      <c r="A13" s="14" t="s">
        <v>13</v>
      </c>
      <c r="B13" s="10">
        <v>190.34</v>
      </c>
      <c r="C13" s="10">
        <v>135</v>
      </c>
      <c r="D13" s="10">
        <v>135.31</v>
      </c>
      <c r="E13" s="12">
        <f t="shared" si="0"/>
        <v>153.55000000000001</v>
      </c>
    </row>
    <row r="14" spans="1:5" ht="15.6" x14ac:dyDescent="0.3">
      <c r="A14" s="8"/>
      <c r="B14" s="8"/>
      <c r="C14" s="8"/>
      <c r="D14" s="8"/>
      <c r="E14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03DF-2A62-4E23-A120-C927E47C134F}">
  <dimension ref="A1:E14"/>
  <sheetViews>
    <sheetView workbookViewId="0">
      <selection activeCell="D9" sqref="D9"/>
    </sheetView>
  </sheetViews>
  <sheetFormatPr defaultRowHeight="14.4" x14ac:dyDescent="0.3"/>
  <cols>
    <col min="1" max="1" width="24" customWidth="1"/>
  </cols>
  <sheetData>
    <row r="1" spans="1:5" x14ac:dyDescent="0.3">
      <c r="A1" s="5" t="s">
        <v>18</v>
      </c>
      <c r="B1" s="1"/>
      <c r="C1" s="1"/>
      <c r="D1" s="1"/>
    </row>
    <row r="2" spans="1:5" ht="31.2" x14ac:dyDescent="0.3">
      <c r="A2" s="13" t="s">
        <v>1</v>
      </c>
      <c r="B2" s="9" t="s">
        <v>15</v>
      </c>
      <c r="C2" s="9" t="s">
        <v>16</v>
      </c>
      <c r="D2" s="9" t="s">
        <v>17</v>
      </c>
      <c r="E2" s="11" t="s">
        <v>20</v>
      </c>
    </row>
    <row r="3" spans="1:5" ht="15.6" x14ac:dyDescent="0.3">
      <c r="A3" s="14" t="s">
        <v>3</v>
      </c>
      <c r="B3" s="10">
        <v>5.85</v>
      </c>
      <c r="C3" s="10">
        <v>5.92</v>
      </c>
      <c r="D3" s="10">
        <v>5.86</v>
      </c>
      <c r="E3" s="12">
        <f>AVERAGE(B3:D3)</f>
        <v>5.876666666666666</v>
      </c>
    </row>
    <row r="4" spans="1:5" ht="15.6" x14ac:dyDescent="0.3">
      <c r="A4" s="14" t="s">
        <v>4</v>
      </c>
      <c r="B4" s="10">
        <v>19</v>
      </c>
      <c r="C4" s="10">
        <v>19</v>
      </c>
      <c r="D4" s="10">
        <v>19</v>
      </c>
      <c r="E4" s="12">
        <f t="shared" ref="E4:E13" si="0">AVERAGE(B4:D4)</f>
        <v>19</v>
      </c>
    </row>
    <row r="5" spans="1:5" ht="15.6" x14ac:dyDescent="0.3">
      <c r="A5" s="14" t="s">
        <v>5</v>
      </c>
      <c r="B5" s="10">
        <v>5.99</v>
      </c>
      <c r="C5" s="10">
        <v>5.5</v>
      </c>
      <c r="D5" s="10">
        <v>5.8</v>
      </c>
      <c r="E5" s="12">
        <f t="shared" si="0"/>
        <v>5.7633333333333328</v>
      </c>
    </row>
    <row r="6" spans="1:5" ht="15.6" x14ac:dyDescent="0.3">
      <c r="A6" s="14" t="s">
        <v>6</v>
      </c>
      <c r="B6" s="10">
        <v>7</v>
      </c>
      <c r="C6" s="10">
        <v>6.91</v>
      </c>
      <c r="D6" s="10">
        <v>7</v>
      </c>
      <c r="E6" s="12">
        <f t="shared" si="0"/>
        <v>6.97</v>
      </c>
    </row>
    <row r="7" spans="1:5" ht="15.6" x14ac:dyDescent="0.3">
      <c r="A7" s="14" t="s">
        <v>7</v>
      </c>
      <c r="B7" s="10">
        <v>601.66999999999996</v>
      </c>
      <c r="C7" s="10">
        <v>601.66999999999996</v>
      </c>
      <c r="D7" s="10">
        <v>612</v>
      </c>
      <c r="E7" s="12">
        <f t="shared" si="0"/>
        <v>605.11333333333334</v>
      </c>
    </row>
    <row r="8" spans="1:5" ht="15.6" x14ac:dyDescent="0.3">
      <c r="A8" s="14" t="s">
        <v>8</v>
      </c>
      <c r="B8" s="10">
        <v>70.69</v>
      </c>
      <c r="C8" s="10">
        <v>169.92</v>
      </c>
      <c r="D8" s="10">
        <v>71</v>
      </c>
      <c r="E8" s="12">
        <f t="shared" si="0"/>
        <v>103.87</v>
      </c>
    </row>
    <row r="9" spans="1:5" ht="15.6" x14ac:dyDescent="0.3">
      <c r="A9" s="14" t="s">
        <v>9</v>
      </c>
      <c r="B9" s="10">
        <v>90</v>
      </c>
      <c r="C9" s="10">
        <v>81.44</v>
      </c>
      <c r="D9" s="10">
        <v>80</v>
      </c>
      <c r="E9" s="12">
        <f t="shared" si="0"/>
        <v>83.813333333333333</v>
      </c>
    </row>
    <row r="10" spans="1:5" ht="15.6" x14ac:dyDescent="0.3">
      <c r="A10" s="14" t="s">
        <v>10</v>
      </c>
      <c r="B10" s="10">
        <v>236.78</v>
      </c>
      <c r="C10" s="10">
        <v>135</v>
      </c>
      <c r="D10" s="10">
        <v>232.66</v>
      </c>
      <c r="E10" s="12">
        <f t="shared" si="0"/>
        <v>201.48</v>
      </c>
    </row>
    <row r="11" spans="1:5" ht="15.6" x14ac:dyDescent="0.3">
      <c r="A11" s="14" t="s">
        <v>11</v>
      </c>
      <c r="B11" s="10">
        <v>91.01</v>
      </c>
      <c r="C11" s="10">
        <v>19.12</v>
      </c>
      <c r="D11" s="10">
        <v>91.68</v>
      </c>
      <c r="E11" s="12">
        <f t="shared" si="0"/>
        <v>67.27</v>
      </c>
    </row>
    <row r="12" spans="1:5" ht="15.6" x14ac:dyDescent="0.3">
      <c r="A12" s="14" t="s">
        <v>12</v>
      </c>
      <c r="B12" s="10">
        <v>88.02</v>
      </c>
      <c r="C12" s="10">
        <v>80</v>
      </c>
      <c r="D12" s="10">
        <v>90</v>
      </c>
      <c r="E12" s="12">
        <f t="shared" si="0"/>
        <v>86.006666666666661</v>
      </c>
    </row>
    <row r="13" spans="1:5" ht="15.6" x14ac:dyDescent="0.3">
      <c r="A13" s="14" t="s">
        <v>13</v>
      </c>
      <c r="B13" s="10">
        <v>195.88</v>
      </c>
      <c r="C13" s="10">
        <v>200.67</v>
      </c>
      <c r="D13" s="10">
        <v>584.32000000000005</v>
      </c>
      <c r="E13" s="12">
        <f t="shared" si="0"/>
        <v>326.95666666666665</v>
      </c>
    </row>
    <row r="14" spans="1:5" ht="15.6" x14ac:dyDescent="0.3">
      <c r="A14" s="8"/>
      <c r="B14" s="8"/>
      <c r="C14" s="8"/>
      <c r="D14" s="8"/>
      <c r="E14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3057-AB03-4C05-BD99-F33647E4AA59}">
  <dimension ref="A1:E14"/>
  <sheetViews>
    <sheetView workbookViewId="0">
      <selection activeCell="F8" sqref="F8"/>
    </sheetView>
  </sheetViews>
  <sheetFormatPr defaultRowHeight="14.4" x14ac:dyDescent="0.3"/>
  <cols>
    <col min="1" max="1" width="20.21875" customWidth="1"/>
  </cols>
  <sheetData>
    <row r="1" spans="1:5" x14ac:dyDescent="0.3">
      <c r="A1" s="5" t="s">
        <v>19</v>
      </c>
      <c r="B1" s="1"/>
      <c r="C1" s="1"/>
      <c r="D1" s="1"/>
    </row>
    <row r="2" spans="1:5" ht="31.2" x14ac:dyDescent="0.3">
      <c r="A2" s="13" t="s">
        <v>1</v>
      </c>
      <c r="B2" s="9" t="s">
        <v>15</v>
      </c>
      <c r="C2" s="9" t="s">
        <v>16</v>
      </c>
      <c r="D2" s="9" t="s">
        <v>17</v>
      </c>
      <c r="E2" s="17" t="s">
        <v>20</v>
      </c>
    </row>
    <row r="3" spans="1:5" ht="15.6" x14ac:dyDescent="0.3">
      <c r="A3" s="14" t="s">
        <v>3</v>
      </c>
      <c r="B3" s="10">
        <v>6.31</v>
      </c>
      <c r="C3" s="10">
        <v>6.31</v>
      </c>
      <c r="D3" s="10">
        <v>6.21</v>
      </c>
      <c r="E3" s="18">
        <f>AVERAGE(B3:D3)</f>
        <v>6.2766666666666664</v>
      </c>
    </row>
    <row r="4" spans="1:5" ht="15.6" x14ac:dyDescent="0.3">
      <c r="A4" s="14" t="s">
        <v>4</v>
      </c>
      <c r="B4" s="10">
        <v>18.600000000000001</v>
      </c>
      <c r="C4" s="10">
        <v>18</v>
      </c>
      <c r="D4" s="10">
        <v>18.670000000000002</v>
      </c>
      <c r="E4" s="18">
        <f t="shared" ref="E4:E13" si="0">AVERAGE(B4:D4)</f>
        <v>18.423333333333336</v>
      </c>
    </row>
    <row r="5" spans="1:5" ht="15.6" x14ac:dyDescent="0.3">
      <c r="A5" s="14" t="s">
        <v>5</v>
      </c>
      <c r="B5" s="10">
        <v>4.5</v>
      </c>
      <c r="C5" s="10">
        <v>4.5999999999999996</v>
      </c>
      <c r="D5" s="10">
        <v>4.74</v>
      </c>
      <c r="E5" s="18">
        <f t="shared" si="0"/>
        <v>4.6133333333333333</v>
      </c>
    </row>
    <row r="6" spans="1:5" ht="15.6" x14ac:dyDescent="0.3">
      <c r="A6" s="14" t="s">
        <v>6</v>
      </c>
      <c r="B6" s="10">
        <v>5.5</v>
      </c>
      <c r="C6" s="10">
        <v>5.63</v>
      </c>
      <c r="D6" s="10">
        <v>5.97</v>
      </c>
      <c r="E6" s="18">
        <f t="shared" si="0"/>
        <v>5.6999999999999993</v>
      </c>
    </row>
    <row r="7" spans="1:5" ht="15.6" x14ac:dyDescent="0.3">
      <c r="A7" s="14" t="s">
        <v>7</v>
      </c>
      <c r="B7" s="10">
        <v>620</v>
      </c>
      <c r="C7" s="10">
        <v>573</v>
      </c>
      <c r="D7" s="10">
        <v>375.33</v>
      </c>
      <c r="E7" s="18">
        <f t="shared" si="0"/>
        <v>522.77666666666664</v>
      </c>
    </row>
    <row r="8" spans="1:5" ht="15.6" x14ac:dyDescent="0.3">
      <c r="A8" s="14" t="s">
        <v>8</v>
      </c>
      <c r="B8" s="10">
        <v>15.02</v>
      </c>
      <c r="C8" s="10">
        <v>105.68</v>
      </c>
      <c r="D8" s="10">
        <v>65.989999999999995</v>
      </c>
      <c r="E8" s="18">
        <f t="shared" si="0"/>
        <v>62.23</v>
      </c>
    </row>
    <row r="9" spans="1:5" ht="15.6" x14ac:dyDescent="0.3">
      <c r="A9" s="14" t="s">
        <v>9</v>
      </c>
      <c r="B9" s="10">
        <v>11.04</v>
      </c>
      <c r="C9" s="10">
        <v>90.72</v>
      </c>
      <c r="D9" s="10">
        <v>71.05</v>
      </c>
      <c r="E9" s="18">
        <f t="shared" si="0"/>
        <v>57.603333333333332</v>
      </c>
    </row>
    <row r="10" spans="1:5" ht="15.6" x14ac:dyDescent="0.3">
      <c r="A10" s="14" t="s">
        <v>10</v>
      </c>
      <c r="B10" s="10">
        <v>114</v>
      </c>
      <c r="C10" s="10">
        <v>118.67</v>
      </c>
      <c r="D10" s="10">
        <v>204</v>
      </c>
      <c r="E10" s="18">
        <f t="shared" si="0"/>
        <v>145.55666666666667</v>
      </c>
    </row>
    <row r="11" spans="1:5" ht="15.6" x14ac:dyDescent="0.3">
      <c r="A11" s="14" t="s">
        <v>11</v>
      </c>
      <c r="B11" s="10">
        <v>87.02</v>
      </c>
      <c r="C11" s="10">
        <v>88.03</v>
      </c>
      <c r="D11" s="10">
        <v>87.84</v>
      </c>
      <c r="E11" s="18">
        <f t="shared" si="0"/>
        <v>87.63</v>
      </c>
    </row>
    <row r="12" spans="1:5" ht="15.6" x14ac:dyDescent="0.3">
      <c r="A12" s="14" t="s">
        <v>12</v>
      </c>
      <c r="B12" s="10">
        <v>201.67</v>
      </c>
      <c r="C12" s="10">
        <v>205</v>
      </c>
      <c r="D12" s="10">
        <v>81</v>
      </c>
      <c r="E12" s="18">
        <f t="shared" si="0"/>
        <v>162.55666666666664</v>
      </c>
    </row>
    <row r="13" spans="1:5" ht="15.6" x14ac:dyDescent="0.3">
      <c r="A13" s="14" t="s">
        <v>13</v>
      </c>
      <c r="B13" s="19">
        <v>197</v>
      </c>
      <c r="C13" s="19">
        <v>198.33</v>
      </c>
      <c r="D13" s="19">
        <v>198</v>
      </c>
      <c r="E13" s="18">
        <f t="shared" si="0"/>
        <v>197.77666666666667</v>
      </c>
    </row>
    <row r="14" spans="1:5" ht="15.6" x14ac:dyDescent="0.3">
      <c r="A14" s="8"/>
      <c r="B14" s="8"/>
      <c r="C14" s="8"/>
      <c r="D14" s="8"/>
      <c r="E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cnt washing water</vt:lpstr>
      <vt:lpstr>sisal fiber</vt:lpstr>
      <vt:lpstr>banana peel</vt:lpstr>
      <vt:lpstr>alum</vt:lpstr>
      <vt:lpstr>cnt kitchen water</vt:lpstr>
      <vt:lpstr>sisal fiber kitch</vt:lpstr>
      <vt:lpstr>banana peel kitch</vt:lpstr>
      <vt:lpstr>alum kitch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Abdulbasit Adedeji A</dc:creator>
  <cp:lastModifiedBy>Abdulbasit Adedeji A</cp:lastModifiedBy>
  <dcterms:created xsi:type="dcterms:W3CDTF">2026-09-22T05:32:16Z</dcterms:created>
  <dcterms:modified xsi:type="dcterms:W3CDTF">2026-09-22T17:11:14Z</dcterms:modified>
</cp:coreProperties>
</file>